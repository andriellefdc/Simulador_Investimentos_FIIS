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i\OneDrive\Documentos\Andrielle\ESTUDOS\Santander_Excel_com_IA\Materias de apoio\Dominando tabelas com Excel\Projeto\"/>
    </mc:Choice>
  </mc:AlternateContent>
  <bookViews>
    <workbookView xWindow="0" yWindow="0" windowWidth="15912" windowHeight="7200" tabRatio="312"/>
  </bookViews>
  <sheets>
    <sheet name="Investimentos" sheetId="1" r:id="rId1"/>
    <sheet name="Planilha_Apoio" sheetId="2" r:id="rId2"/>
  </sheets>
  <definedNames>
    <definedName name="Aporte">Investimentos!$D$14</definedName>
    <definedName name="Patrimonio">Investimentos!$D$18</definedName>
    <definedName name="Perfil">Investimentos!$D$29</definedName>
    <definedName name="Qtd_Anos">Investimentos!$D$15</definedName>
    <definedName name="Rendimento_Carteira">Investimentos!$D$11</definedName>
    <definedName name="Salario">Investimentos!$D$9</definedName>
    <definedName name="Sugestao_Investimento">Investimentos!$D$10</definedName>
    <definedName name="Taxa_Mensal">Investimentos!$D$16</definedName>
    <definedName name="Taxa_Rendimento">Investimentos!$D$16</definedName>
    <definedName name="Valor_Investido">Investimentos!$D$17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C23" i="1"/>
  <c r="C34" i="1"/>
  <c r="D34" i="1" s="1"/>
  <c r="C35" i="1"/>
  <c r="D35" i="1" s="1"/>
  <c r="C36" i="1"/>
  <c r="D36" i="1" s="1"/>
  <c r="C37" i="1"/>
  <c r="D37" i="1" s="1"/>
  <c r="C38" i="1"/>
  <c r="D38" i="1" s="1"/>
  <c r="C33" i="1"/>
  <c r="D33" i="1" s="1"/>
  <c r="D10" i="1"/>
  <c r="D18" i="1"/>
  <c r="C24" i="1"/>
  <c r="D24" i="1" s="1"/>
  <c r="C25" i="1"/>
  <c r="D25" i="1" s="1"/>
  <c r="C26" i="1"/>
  <c r="D26" i="1" s="1"/>
  <c r="C27" i="1"/>
  <c r="D27" i="1" s="1"/>
  <c r="D23" i="1"/>
  <c r="D17" i="1"/>
  <c r="D19" i="1" l="1"/>
  <c r="D20" i="1"/>
  <c r="D39" i="1" l="1"/>
  <c r="C39" i="1"/>
</calcChain>
</file>

<file path=xl/sharedStrings.xml><?xml version="1.0" encoding="utf-8"?>
<sst xmlns="http://schemas.openxmlformats.org/spreadsheetml/2006/main" count="90" uniqueCount="54">
  <si>
    <t>Quanto investir por mês?</t>
  </si>
  <si>
    <t>Qual o patrimonio acumulado?</t>
  </si>
  <si>
    <t>Qual o valor total já investido?</t>
  </si>
  <si>
    <t>Qual a taxa de rendimento mensal?</t>
  </si>
  <si>
    <t>Quanto serão meus dividendos mensais?</t>
  </si>
  <si>
    <t>Qual o lucro?</t>
  </si>
  <si>
    <t>Quanto em 2 anos?</t>
  </si>
  <si>
    <t>Quanto em 5 anos?</t>
  </si>
  <si>
    <t>Quanto em 10 anos?</t>
  </si>
  <si>
    <t>Quanto em 20 anos?</t>
  </si>
  <si>
    <t>Quanto em 30 anos?</t>
  </si>
  <si>
    <t xml:space="preserve">CENARIOS ANUAIS </t>
  </si>
  <si>
    <t>DIVIDENDOS</t>
  </si>
  <si>
    <t>CONFIGURACOES</t>
  </si>
  <si>
    <t>Rendimento Carteira</t>
  </si>
  <si>
    <t>Salario</t>
  </si>
  <si>
    <t>Sugestao de Investimento</t>
  </si>
  <si>
    <t>INVESTIMENTOS</t>
  </si>
  <si>
    <t>Agressivo</t>
  </si>
  <si>
    <t>Moderado</t>
  </si>
  <si>
    <t>PERFIL</t>
  </si>
  <si>
    <t>TIPO DE FII</t>
  </si>
  <si>
    <t>Valores</t>
  </si>
  <si>
    <t>VALOR INVESTIDO POR MES</t>
  </si>
  <si>
    <t>Percentual Sugerido</t>
  </si>
  <si>
    <t>TIJOLO</t>
  </si>
  <si>
    <t>HIBRIDOS</t>
  </si>
  <si>
    <t>FOFs</t>
  </si>
  <si>
    <t>DESENVOLVIMENTO</t>
  </si>
  <si>
    <t>HOTELARIAS</t>
  </si>
  <si>
    <t>PAPEL</t>
  </si>
  <si>
    <t>Conservador</t>
  </si>
  <si>
    <t>%</t>
  </si>
  <si>
    <t>CHAVE</t>
  </si>
  <si>
    <t>Conservador-PAPEL</t>
  </si>
  <si>
    <t>Conservador-TIJOLO</t>
  </si>
  <si>
    <t>Conservador-HIBRIDOS</t>
  </si>
  <si>
    <t>Conservador-FOFs</t>
  </si>
  <si>
    <t>Conservador-DESENVOLVIMENTO</t>
  </si>
  <si>
    <t>Conservador-HOTELARIAS</t>
  </si>
  <si>
    <t>Moderado-PAPEL</t>
  </si>
  <si>
    <t>Moderado-TIJOLO</t>
  </si>
  <si>
    <t>Moderado-HIBRIDOS</t>
  </si>
  <si>
    <t>Moderado-FOFs</t>
  </si>
  <si>
    <t>Moderado-DESENVOLVIMENTO</t>
  </si>
  <si>
    <t>Moderado-HOTELARIAS</t>
  </si>
  <si>
    <t>Agressivo-PAPEL</t>
  </si>
  <si>
    <t>Agressivo-TIJOLO</t>
  </si>
  <si>
    <t>Agressivo-HIBRIDOS</t>
  </si>
  <si>
    <t>Agressivo-FOFs</t>
  </si>
  <si>
    <t>Agressivo-DESENVOLVIMENTO</t>
  </si>
  <si>
    <t>Agressivo-HOTELARIAS</t>
  </si>
  <si>
    <t>Quantos anos de investimento ?</t>
  </si>
  <si>
    <t xml:space="preserve">Escolha um perfil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</si>
</sst>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6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 Black"/>
      <family val="2"/>
    </font>
    <font>
      <sz val="10"/>
      <color theme="0"/>
      <name val="Arial Black"/>
      <family val="2"/>
    </font>
    <font>
      <sz val="14"/>
      <color theme="0"/>
      <name val="Arial Black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9C6500"/>
      <name val="Arial Narrow"/>
      <family val="2"/>
    </font>
    <font>
      <i/>
      <sz val="12"/>
      <color rgb="FF9C65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/>
      <diagonal/>
    </border>
    <border>
      <left style="thin">
        <color theme="0" tint="-4.9989318521683403E-2"/>
      </left>
      <right/>
      <top style="medium">
        <color indexed="64"/>
      </top>
      <bottom/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9">
    <xf numFmtId="0" fontId="0" fillId="0" borderId="0" xfId="0"/>
    <xf numFmtId="0" fontId="7" fillId="4" borderId="1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9" borderId="0" xfId="0" applyFill="1"/>
    <xf numFmtId="0" fontId="7" fillId="4" borderId="20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166" fontId="10" fillId="0" borderId="13" xfId="0" applyNumberFormat="1" applyFont="1" applyBorder="1" applyAlignment="1">
      <alignment horizontal="left" vertical="center"/>
    </xf>
    <xf numFmtId="1" fontId="10" fillId="0" borderId="16" xfId="0" applyNumberFormat="1" applyFont="1" applyBorder="1" applyAlignment="1">
      <alignment horizontal="left" vertical="center"/>
    </xf>
    <xf numFmtId="10" fontId="10" fillId="0" borderId="16" xfId="0" applyNumberFormat="1" applyFont="1" applyBorder="1" applyAlignment="1">
      <alignment horizontal="left" vertical="center"/>
    </xf>
    <xf numFmtId="8" fontId="10" fillId="7" borderId="16" xfId="0" applyNumberFormat="1" applyFont="1" applyFill="1" applyBorder="1" applyAlignment="1">
      <alignment horizontal="left" vertical="center"/>
    </xf>
    <xf numFmtId="8" fontId="10" fillId="7" borderId="19" xfId="0" applyNumberFormat="1" applyFont="1" applyFill="1" applyBorder="1" applyAlignment="1">
      <alignment horizontal="left" vertical="center"/>
    </xf>
    <xf numFmtId="8" fontId="10" fillId="6" borderId="29" xfId="0" applyNumberFormat="1" applyFont="1" applyFill="1" applyBorder="1" applyAlignment="1">
      <alignment horizontal="left" vertical="center"/>
    </xf>
    <xf numFmtId="8" fontId="10" fillId="6" borderId="16" xfId="0" applyNumberFormat="1" applyFont="1" applyFill="1" applyBorder="1" applyAlignment="1">
      <alignment horizontal="left" vertical="center"/>
    </xf>
    <xf numFmtId="10" fontId="10" fillId="6" borderId="19" xfId="0" applyNumberFormat="1" applyFont="1" applyFill="1" applyBorder="1" applyAlignment="1">
      <alignment horizontal="left" vertical="center"/>
    </xf>
    <xf numFmtId="8" fontId="8" fillId="7" borderId="24" xfId="0" applyNumberFormat="1" applyFont="1" applyFill="1" applyBorder="1" applyAlignment="1">
      <alignment horizontal="left" vertical="center"/>
    </xf>
    <xf numFmtId="8" fontId="8" fillId="7" borderId="25" xfId="0" applyNumberFormat="1" applyFont="1" applyFill="1" applyBorder="1" applyAlignment="1">
      <alignment horizontal="left" vertical="center"/>
    </xf>
    <xf numFmtId="8" fontId="8" fillId="7" borderId="3" xfId="0" applyNumberFormat="1" applyFont="1" applyFill="1" applyBorder="1" applyAlignment="1">
      <alignment horizontal="left" vertical="center"/>
    </xf>
    <xf numFmtId="8" fontId="8" fillId="7" borderId="7" xfId="0" applyNumberFormat="1" applyFont="1" applyFill="1" applyBorder="1" applyAlignment="1">
      <alignment horizontal="left" vertical="center"/>
    </xf>
    <xf numFmtId="8" fontId="8" fillId="7" borderId="9" xfId="0" applyNumberFormat="1" applyFont="1" applyFill="1" applyBorder="1" applyAlignment="1">
      <alignment horizontal="left" vertical="center"/>
    </xf>
    <xf numFmtId="8" fontId="8" fillId="7" borderId="5" xfId="0" applyNumberFormat="1" applyFont="1" applyFill="1" applyBorder="1" applyAlignment="1">
      <alignment horizontal="left" vertical="center"/>
    </xf>
    <xf numFmtId="0" fontId="9" fillId="7" borderId="23" xfId="0" applyFont="1" applyFill="1" applyBorder="1" applyAlignment="1">
      <alignment horizontal="left" vertical="center" indent="3"/>
    </xf>
    <xf numFmtId="0" fontId="9" fillId="7" borderId="6" xfId="0" applyFont="1" applyFill="1" applyBorder="1" applyAlignment="1">
      <alignment horizontal="left" vertical="center" indent="3"/>
    </xf>
    <xf numFmtId="0" fontId="9" fillId="7" borderId="4" xfId="0" applyFont="1" applyFill="1" applyBorder="1" applyAlignment="1">
      <alignment horizontal="left" vertical="center" indent="3"/>
    </xf>
    <xf numFmtId="0" fontId="9" fillId="0" borderId="11" xfId="0" applyFont="1" applyBorder="1" applyAlignment="1">
      <alignment horizontal="left" vertical="center" indent="3"/>
    </xf>
    <xf numFmtId="0" fontId="9" fillId="0" borderId="12" xfId="0" applyFont="1" applyBorder="1" applyAlignment="1">
      <alignment horizontal="left" vertical="center" indent="3"/>
    </xf>
    <xf numFmtId="0" fontId="9" fillId="0" borderId="14" xfId="0" applyFont="1" applyBorder="1" applyAlignment="1">
      <alignment horizontal="left" vertical="center" indent="3"/>
    </xf>
    <xf numFmtId="0" fontId="9" fillId="0" borderId="15" xfId="0" applyFont="1" applyBorder="1" applyAlignment="1">
      <alignment horizontal="left" vertical="center" indent="3"/>
    </xf>
    <xf numFmtId="0" fontId="9" fillId="7" borderId="14" xfId="0" applyFont="1" applyFill="1" applyBorder="1" applyAlignment="1">
      <alignment horizontal="left" vertical="center" indent="3"/>
    </xf>
    <xf numFmtId="0" fontId="9" fillId="7" borderId="15" xfId="0" applyFont="1" applyFill="1" applyBorder="1" applyAlignment="1">
      <alignment horizontal="left" vertical="center" indent="3"/>
    </xf>
    <xf numFmtId="0" fontId="9" fillId="7" borderId="10" xfId="0" applyFont="1" applyFill="1" applyBorder="1" applyAlignment="1">
      <alignment horizontal="left" vertical="center" indent="3"/>
    </xf>
    <xf numFmtId="0" fontId="9" fillId="7" borderId="26" xfId="0" applyFont="1" applyFill="1" applyBorder="1" applyAlignment="1">
      <alignment horizontal="left" vertical="center" indent="3"/>
    </xf>
    <xf numFmtId="0" fontId="9" fillId="7" borderId="17" xfId="0" applyFont="1" applyFill="1" applyBorder="1" applyAlignment="1">
      <alignment horizontal="left" vertical="center" indent="3"/>
    </xf>
    <xf numFmtId="0" fontId="9" fillId="7" borderId="18" xfId="0" applyFont="1" applyFill="1" applyBorder="1" applyAlignment="1">
      <alignment horizontal="left" vertical="center" indent="3"/>
    </xf>
    <xf numFmtId="0" fontId="9" fillId="6" borderId="27" xfId="0" applyFont="1" applyFill="1" applyBorder="1" applyAlignment="1">
      <alignment horizontal="left" vertical="center" indent="3"/>
    </xf>
    <xf numFmtId="0" fontId="9" fillId="6" borderId="28" xfId="0" applyFont="1" applyFill="1" applyBorder="1" applyAlignment="1">
      <alignment horizontal="left" vertical="center" indent="3"/>
    </xf>
    <xf numFmtId="0" fontId="9" fillId="6" borderId="14" xfId="0" applyFont="1" applyFill="1" applyBorder="1" applyAlignment="1">
      <alignment horizontal="left" vertical="center" indent="3"/>
    </xf>
    <xf numFmtId="0" fontId="9" fillId="6" borderId="15" xfId="0" applyFont="1" applyFill="1" applyBorder="1" applyAlignment="1">
      <alignment horizontal="left" vertical="center" indent="3"/>
    </xf>
    <xf numFmtId="0" fontId="9" fillId="6" borderId="17" xfId="0" applyFont="1" applyFill="1" applyBorder="1" applyAlignment="1">
      <alignment horizontal="left" vertical="center" indent="3"/>
    </xf>
    <xf numFmtId="0" fontId="9" fillId="6" borderId="18" xfId="0" applyFont="1" applyFill="1" applyBorder="1" applyAlignment="1">
      <alignment horizontal="left" vertical="center" indent="3"/>
    </xf>
    <xf numFmtId="0" fontId="1" fillId="2" borderId="0" xfId="1"/>
    <xf numFmtId="0" fontId="11" fillId="2" borderId="0" xfId="1" applyFont="1" applyBorder="1" applyAlignment="1">
      <alignment vertical="center"/>
    </xf>
    <xf numFmtId="0" fontId="0" fillId="0" borderId="0" xfId="0" applyAlignment="1">
      <alignment horizontal="left" indent="12"/>
    </xf>
    <xf numFmtId="0" fontId="10" fillId="5" borderId="0" xfId="0" applyFont="1" applyFill="1"/>
    <xf numFmtId="166" fontId="3" fillId="5" borderId="0" xfId="0" applyNumberFormat="1" applyFont="1" applyFill="1" applyAlignment="1">
      <alignment horizontal="left" vertical="center"/>
    </xf>
    <xf numFmtId="9" fontId="0" fillId="0" borderId="0" xfId="0" applyNumberFormat="1"/>
    <xf numFmtId="0" fontId="3" fillId="9" borderId="0" xfId="0" applyFont="1" applyFill="1" applyAlignment="1">
      <alignment horizontal="center" vertical="center"/>
    </xf>
    <xf numFmtId="0" fontId="10" fillId="9" borderId="0" xfId="0" applyFont="1" applyFill="1"/>
    <xf numFmtId="166" fontId="0" fillId="9" borderId="0" xfId="0" applyNumberFormat="1" applyFill="1"/>
    <xf numFmtId="9" fontId="0" fillId="9" borderId="0" xfId="0" applyNumberFormat="1" applyFill="1"/>
    <xf numFmtId="166" fontId="0" fillId="7" borderId="0" xfId="0" applyNumberFormat="1" applyFill="1"/>
    <xf numFmtId="0" fontId="2" fillId="3" borderId="0" xfId="0" applyFont="1" applyFill="1"/>
    <xf numFmtId="0" fontId="0" fillId="8" borderId="0" xfId="0" applyFill="1"/>
    <xf numFmtId="0" fontId="0" fillId="8" borderId="0" xfId="0" applyFill="1" applyAlignment="1">
      <alignment horizontal="left"/>
    </xf>
    <xf numFmtId="9" fontId="0" fillId="8" borderId="0" xfId="0" applyNumberFormat="1" applyFill="1"/>
    <xf numFmtId="0" fontId="4" fillId="0" borderId="0" xfId="0" applyFont="1" applyBorder="1" applyAlignment="1">
      <alignment horizontal="left"/>
    </xf>
    <xf numFmtId="166" fontId="3" fillId="5" borderId="0" xfId="0" applyNumberFormat="1" applyFont="1" applyFill="1" applyAlignment="1">
      <alignment horizontal="right" vertical="center"/>
    </xf>
    <xf numFmtId="0" fontId="12" fillId="2" borderId="0" xfId="1" applyFont="1" applyBorder="1" applyAlignment="1">
      <alignment vertical="center"/>
    </xf>
  </cellXfs>
  <cellStyles count="2">
    <cellStyle name="Neutra" xfId="1" builtinId="28"/>
    <cellStyle name="Normal" xfId="0" builtinId="0"/>
  </cellStyles>
  <dxfs count="0"/>
  <tableStyles count="0" defaultTableStyle="TableStyleMedium2" defaultPivotStyle="PivotStyleLight16"/>
  <colors>
    <mruColors>
      <color rgb="FF00FFFF"/>
      <color rgb="FF33CC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Investimentos!$B$33:$B$38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Investimentos!$C$33:$C$38</c:f>
              <c:numCache>
                <c:formatCode>0%</c:formatCode>
                <c:ptCount val="6"/>
                <c:pt idx="0">
                  <c:v>0.45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E-46B2-8861-E562E09F9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111368</xdr:colOff>
      <xdr:row>0</xdr:row>
      <xdr:rowOff>58615</xdr:rowOff>
    </xdr:from>
    <xdr:to>
      <xdr:col>4</xdr:col>
      <xdr:colOff>205154</xdr:colOff>
      <xdr:row>6</xdr:row>
      <xdr:rowOff>128954</xdr:rowOff>
    </xdr:to>
    <xdr:pic>
      <xdr:nvPicPr>
        <xdr:cNvPr id="2" name="Imagem 1" descr="RGGSGSDGSDGD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8" y="58615"/>
          <a:ext cx="6324601" cy="1160585"/>
        </a:xfrm>
        <a:prstGeom prst="rect">
          <a:avLst/>
        </a:prstGeom>
        <a:effectLst>
          <a:softEdge rad="127000"/>
        </a:effectLst>
      </xdr:spPr>
    </xdr:pic>
    <xdr:clientData/>
  </xdr:twoCellAnchor>
  <xdr:oneCellAnchor>
    <xdr:from>
      <xdr:col>0</xdr:col>
      <xdr:colOff>211016</xdr:colOff>
      <xdr:row>0</xdr:row>
      <xdr:rowOff>140677</xdr:rowOff>
    </xdr:from>
    <xdr:ext cx="1242646" cy="381708"/>
    <xdr:sp macro="" textlink="">
      <xdr:nvSpPr>
        <xdr:cNvPr id="3" name="CaixaDeTexto 2"/>
        <xdr:cNvSpPr txBox="1"/>
      </xdr:nvSpPr>
      <xdr:spPr>
        <a:xfrm>
          <a:off x="211016" y="140677"/>
          <a:ext cx="124264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rgbClr val="00FFFF"/>
              </a:solidFill>
              <a:latin typeface="Arial Black" panose="020B0A04020102020204" pitchFamily="34" charset="0"/>
            </a:rPr>
            <a:t>Dieles</a:t>
          </a:r>
        </a:p>
      </xdr:txBody>
    </xdr:sp>
    <xdr:clientData/>
  </xdr:oneCellAnchor>
  <xdr:oneCellAnchor>
    <xdr:from>
      <xdr:col>3</xdr:col>
      <xdr:colOff>205153</xdr:colOff>
      <xdr:row>3</xdr:row>
      <xdr:rowOff>134815</xdr:rowOff>
    </xdr:from>
    <xdr:ext cx="629147" cy="381708"/>
    <xdr:sp macro="" textlink="">
      <xdr:nvSpPr>
        <xdr:cNvPr id="4" name="CaixaDeTexto 3"/>
        <xdr:cNvSpPr txBox="1"/>
      </xdr:nvSpPr>
      <xdr:spPr>
        <a:xfrm>
          <a:off x="5421922" y="679938"/>
          <a:ext cx="629147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>
              <a:solidFill>
                <a:srgbClr val="00FFFF"/>
              </a:solidFill>
              <a:latin typeface="Arial Black" panose="020B0A04020102020204" pitchFamily="34" charset="0"/>
              <a:ea typeface="+mn-ea"/>
              <a:cs typeface="+mn-cs"/>
            </a:rPr>
            <a:t>S.A.</a:t>
          </a:r>
          <a:endParaRPr lang="pt-BR" sz="1100"/>
        </a:p>
      </xdr:txBody>
    </xdr:sp>
    <xdr:clientData/>
  </xdr:oneCellAnchor>
  <xdr:twoCellAnchor>
    <xdr:from>
      <xdr:col>4</xdr:col>
      <xdr:colOff>198120</xdr:colOff>
      <xdr:row>26</xdr:row>
      <xdr:rowOff>137160</xdr:rowOff>
    </xdr:from>
    <xdr:to>
      <xdr:col>10</xdr:col>
      <xdr:colOff>487680</xdr:colOff>
      <xdr:row>39</xdr:row>
      <xdr:rowOff>175260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1097280</xdr:colOff>
      <xdr:row>28</xdr:row>
      <xdr:rowOff>68580</xdr:rowOff>
    </xdr:from>
    <xdr:to>
      <xdr:col>2</xdr:col>
      <xdr:colOff>1470660</xdr:colOff>
      <xdr:row>28</xdr:row>
      <xdr:rowOff>167640</xdr:rowOff>
    </xdr:to>
    <xdr:sp macro="" textlink="">
      <xdr:nvSpPr>
        <xdr:cNvPr id="7" name="Seta para a Direita 6"/>
        <xdr:cNvSpPr/>
      </xdr:nvSpPr>
      <xdr:spPr>
        <a:xfrm>
          <a:off x="4274820" y="5349240"/>
          <a:ext cx="373380" cy="99060"/>
        </a:xfrm>
        <a:prstGeom prst="right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39"/>
  <sheetViews>
    <sheetView showGridLines="0" tabSelected="1" zoomScaleNormal="100" workbookViewId="0">
      <selection activeCell="F21" sqref="F21"/>
    </sheetView>
  </sheetViews>
  <sheetFormatPr defaultColWidth="0" defaultRowHeight="14.4" x14ac:dyDescent="0.3"/>
  <cols>
    <col min="1" max="1" width="4.21875" customWidth="1"/>
    <col min="2" max="2" width="42.109375" customWidth="1"/>
    <col min="3" max="3" width="29.77734375" bestFit="1" customWidth="1"/>
    <col min="4" max="4" width="14.77734375" customWidth="1"/>
    <col min="5" max="5" width="9.44140625" customWidth="1"/>
    <col min="6" max="6" width="13.109375" customWidth="1"/>
    <col min="7" max="11" width="8.88671875" customWidth="1"/>
    <col min="12" max="16384" width="8.88671875" hidden="1"/>
  </cols>
  <sheetData>
    <row r="7" spans="2:4" ht="15" thickBot="1" x14ac:dyDescent="0.35"/>
    <row r="8" spans="2:4" ht="18.600000000000001" customHeight="1" thickBot="1" x14ac:dyDescent="0.35">
      <c r="B8" s="5" t="s">
        <v>13</v>
      </c>
      <c r="C8" s="7"/>
      <c r="D8" s="6"/>
    </row>
    <row r="9" spans="2:4" ht="15" customHeight="1" thickBot="1" x14ac:dyDescent="0.35">
      <c r="B9" s="35" t="s">
        <v>15</v>
      </c>
      <c r="C9" s="36"/>
      <c r="D9" s="13">
        <v>15000</v>
      </c>
    </row>
    <row r="10" spans="2:4" ht="15" customHeight="1" thickBot="1" x14ac:dyDescent="0.35">
      <c r="B10" s="37" t="s">
        <v>16</v>
      </c>
      <c r="C10" s="38"/>
      <c r="D10" s="14">
        <f>Salario*30%</f>
        <v>4500</v>
      </c>
    </row>
    <row r="11" spans="2:4" ht="15" customHeight="1" thickBot="1" x14ac:dyDescent="0.35">
      <c r="B11" s="39" t="s">
        <v>14</v>
      </c>
      <c r="C11" s="40"/>
      <c r="D11" s="15">
        <v>8.8999999999999999E-3</v>
      </c>
    </row>
    <row r="12" spans="2:4" ht="9.6" customHeight="1" thickBot="1" x14ac:dyDescent="0.35"/>
    <row r="13" spans="2:4" ht="18.600000000000001" customHeight="1" thickBot="1" x14ac:dyDescent="0.35">
      <c r="B13" s="5" t="s">
        <v>17</v>
      </c>
      <c r="C13" s="7"/>
      <c r="D13" s="6"/>
    </row>
    <row r="14" spans="2:4" ht="15" customHeight="1" thickBot="1" x14ac:dyDescent="0.35">
      <c r="B14" s="25" t="s">
        <v>0</v>
      </c>
      <c r="C14" s="26"/>
      <c r="D14" s="8">
        <v>3000</v>
      </c>
    </row>
    <row r="15" spans="2:4" ht="15" customHeight="1" thickBot="1" x14ac:dyDescent="0.35">
      <c r="B15" s="27" t="s">
        <v>52</v>
      </c>
      <c r="C15" s="28"/>
      <c r="D15" s="9">
        <v>5</v>
      </c>
    </row>
    <row r="16" spans="2:4" ht="15" customHeight="1" thickBot="1" x14ac:dyDescent="0.35">
      <c r="B16" s="27" t="s">
        <v>3</v>
      </c>
      <c r="C16" s="28"/>
      <c r="D16" s="10">
        <v>1.0789999999999999E-2</v>
      </c>
    </row>
    <row r="17" spans="1:4" ht="15" customHeight="1" thickBot="1" x14ac:dyDescent="0.35">
      <c r="B17" s="29" t="s">
        <v>2</v>
      </c>
      <c r="C17" s="30"/>
      <c r="D17" s="11">
        <f>D14*(D15*12)</f>
        <v>180000</v>
      </c>
    </row>
    <row r="18" spans="1:4" ht="15" customHeight="1" thickBot="1" x14ac:dyDescent="0.35">
      <c r="B18" s="29" t="s">
        <v>1</v>
      </c>
      <c r="C18" s="30"/>
      <c r="D18" s="11">
        <f>FV(Taxa_Mensal,(Qtd_Anos*12),(Aporte*-1))</f>
        <v>251330.74199546294</v>
      </c>
    </row>
    <row r="19" spans="1:4" ht="15" customHeight="1" thickBot="1" x14ac:dyDescent="0.35">
      <c r="B19" s="31" t="s">
        <v>5</v>
      </c>
      <c r="C19" s="32"/>
      <c r="D19" s="11">
        <f>Patrimonio-Valor_Investido</f>
        <v>71330.741995462944</v>
      </c>
    </row>
    <row r="20" spans="1:4" ht="15" customHeight="1" thickBot="1" x14ac:dyDescent="0.35">
      <c r="B20" s="33" t="s">
        <v>4</v>
      </c>
      <c r="C20" s="34"/>
      <c r="D20" s="12">
        <f>Patrimonio*Rendimento_Carteira</f>
        <v>2236.8436037596202</v>
      </c>
    </row>
    <row r="21" spans="1:4" ht="9.6" customHeight="1" thickBot="1" x14ac:dyDescent="0.35"/>
    <row r="22" spans="1:4" ht="18.600000000000001" customHeight="1" thickBot="1" x14ac:dyDescent="0.35">
      <c r="B22" s="1" t="s">
        <v>11</v>
      </c>
      <c r="C22" s="2"/>
      <c r="D22" s="3" t="s">
        <v>12</v>
      </c>
    </row>
    <row r="23" spans="1:4" ht="15" customHeight="1" x14ac:dyDescent="0.3">
      <c r="A23" s="56">
        <v>2</v>
      </c>
      <c r="B23" s="22" t="s">
        <v>6</v>
      </c>
      <c r="C23" s="16">
        <f>FV($D$16,(A23*12),($D$14*-1))</f>
        <v>81682.881892935649</v>
      </c>
      <c r="D23" s="17">
        <f>C23*Rendimento_Carteira</f>
        <v>726.97764884712728</v>
      </c>
    </row>
    <row r="24" spans="1:4" ht="15" customHeight="1" x14ac:dyDescent="0.3">
      <c r="A24" s="56">
        <v>5</v>
      </c>
      <c r="B24" s="23" t="s">
        <v>7</v>
      </c>
      <c r="C24" s="18">
        <f>FV($D$16,(A24*12),($D$14*-1))</f>
        <v>251330.74199546294</v>
      </c>
      <c r="D24" s="19">
        <f>C24*Rendimento_Carteira</f>
        <v>2236.8436037596202</v>
      </c>
    </row>
    <row r="25" spans="1:4" ht="15" customHeight="1" x14ac:dyDescent="0.3">
      <c r="A25" s="56">
        <v>10</v>
      </c>
      <c r="B25" s="23" t="s">
        <v>8</v>
      </c>
      <c r="C25" s="18">
        <f>FV($D$16,(A25*12),($D$14*-1))</f>
        <v>729852.63759051659</v>
      </c>
      <c r="D25" s="19">
        <f>C25*Rendimento_Carteira</f>
        <v>6495.6884745555972</v>
      </c>
    </row>
    <row r="26" spans="1:4" ht="15" customHeight="1" x14ac:dyDescent="0.3">
      <c r="A26" s="56">
        <v>20</v>
      </c>
      <c r="B26" s="23" t="s">
        <v>9</v>
      </c>
      <c r="C26" s="18">
        <f>FV($D$16,(A26*12),($D$14*-1))</f>
        <v>3375595.200291242</v>
      </c>
      <c r="D26" s="19">
        <f>C26*Rendimento_Carteira</f>
        <v>30042.797282592055</v>
      </c>
    </row>
    <row r="27" spans="1:4" ht="15" customHeight="1" thickBot="1" x14ac:dyDescent="0.35">
      <c r="A27" s="56">
        <v>30</v>
      </c>
      <c r="B27" s="24" t="s">
        <v>10</v>
      </c>
      <c r="C27" s="20">
        <f>FV($D$16,(A27*12),($D$14*-1))</f>
        <v>12966508.965014143</v>
      </c>
      <c r="D27" s="21">
        <f>C27*Rendimento_Carteira</f>
        <v>115401.92978862587</v>
      </c>
    </row>
    <row r="29" spans="1:4" ht="15.6" x14ac:dyDescent="0.3">
      <c r="B29" s="42" t="s">
        <v>20</v>
      </c>
      <c r="C29" s="58" t="s">
        <v>53</v>
      </c>
      <c r="D29" s="41" t="s">
        <v>18</v>
      </c>
    </row>
    <row r="30" spans="1:4" ht="15.6" x14ac:dyDescent="0.3">
      <c r="B30" s="44" t="s">
        <v>23</v>
      </c>
      <c r="C30" s="57"/>
      <c r="D30" s="45">
        <f>Aporte</f>
        <v>3000</v>
      </c>
    </row>
    <row r="32" spans="1:4" ht="15.6" x14ac:dyDescent="0.3">
      <c r="B32" s="47" t="s">
        <v>21</v>
      </c>
      <c r="C32" s="48" t="s">
        <v>24</v>
      </c>
      <c r="D32" s="48" t="s">
        <v>22</v>
      </c>
    </row>
    <row r="33" spans="2:4" x14ac:dyDescent="0.3">
      <c r="B33" s="43" t="s">
        <v>30</v>
      </c>
      <c r="C33" s="46">
        <f>VLOOKUP(Perfil&amp;"-"&amp;B33,Planilha_Apoio!$B$3:$E$20,4,0)</f>
        <v>0.45</v>
      </c>
      <c r="D33" s="51">
        <f>C33*Aporte</f>
        <v>1350</v>
      </c>
    </row>
    <row r="34" spans="2:4" x14ac:dyDescent="0.3">
      <c r="B34" s="43" t="s">
        <v>25</v>
      </c>
      <c r="C34" s="46">
        <f>VLOOKUP(Perfil&amp;"-"&amp;B34,Planilha_Apoio!$B$3:$E$20,4,0)</f>
        <v>0.1</v>
      </c>
      <c r="D34" s="51">
        <f>C34*Aporte</f>
        <v>300</v>
      </c>
    </row>
    <row r="35" spans="2:4" x14ac:dyDescent="0.3">
      <c r="B35" s="43" t="s">
        <v>26</v>
      </c>
      <c r="C35" s="46">
        <f>VLOOKUP(Perfil&amp;"-"&amp;B35,Planilha_Apoio!$B$3:$E$20,4,0)</f>
        <v>0.05</v>
      </c>
      <c r="D35" s="51">
        <f>C35*Aporte</f>
        <v>150</v>
      </c>
    </row>
    <row r="36" spans="2:4" x14ac:dyDescent="0.3">
      <c r="B36" s="43" t="s">
        <v>27</v>
      </c>
      <c r="C36" s="46">
        <f>VLOOKUP(Perfil&amp;"-"&amp;B36,Planilha_Apoio!$B$3:$E$20,4,0)</f>
        <v>0.05</v>
      </c>
      <c r="D36" s="51">
        <f>C36*Aporte</f>
        <v>150</v>
      </c>
    </row>
    <row r="37" spans="2:4" x14ac:dyDescent="0.3">
      <c r="B37" s="43" t="s">
        <v>28</v>
      </c>
      <c r="C37" s="46">
        <f>VLOOKUP(Perfil&amp;"-"&amp;B37,Planilha_Apoio!$B$3:$E$20,4,0)</f>
        <v>0.2</v>
      </c>
      <c r="D37" s="51">
        <f>C37*Aporte</f>
        <v>600</v>
      </c>
    </row>
    <row r="38" spans="2:4" x14ac:dyDescent="0.3">
      <c r="B38" s="43" t="s">
        <v>29</v>
      </c>
      <c r="C38" s="46">
        <f>VLOOKUP(Perfil&amp;"-"&amp;B38,Planilha_Apoio!$B$3:$E$20,4,0)</f>
        <v>0.15</v>
      </c>
      <c r="D38" s="51">
        <f>C38*Aporte</f>
        <v>450</v>
      </c>
    </row>
    <row r="39" spans="2:4" x14ac:dyDescent="0.3">
      <c r="B39" s="4"/>
      <c r="C39" s="50">
        <f>SUM(C33:C38)</f>
        <v>1</v>
      </c>
      <c r="D39" s="49">
        <f>SUM(D33:D38)</f>
        <v>3000</v>
      </c>
    </row>
  </sheetData>
  <mergeCells count="12">
    <mergeCell ref="B20:C20"/>
    <mergeCell ref="B8:D8"/>
    <mergeCell ref="B9:C9"/>
    <mergeCell ref="B10:C10"/>
    <mergeCell ref="B11:C11"/>
    <mergeCell ref="B14:C14"/>
    <mergeCell ref="B15:C15"/>
    <mergeCell ref="B16:C16"/>
    <mergeCell ref="B17:C17"/>
    <mergeCell ref="B18:C18"/>
    <mergeCell ref="B19:C19"/>
    <mergeCell ref="B13:D13"/>
  </mergeCells>
  <dataValidations count="1">
    <dataValidation type="list" allowBlank="1" showInputMessage="1" showErrorMessage="1" sqref="D29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showGridLines="0" workbookViewId="0">
      <selection activeCell="H20" sqref="H20"/>
    </sheetView>
  </sheetViews>
  <sheetFormatPr defaultRowHeight="14.4" x14ac:dyDescent="0.3"/>
  <cols>
    <col min="1" max="1" width="4.33203125" customWidth="1"/>
    <col min="2" max="2" width="29.21875" bestFit="1" customWidth="1"/>
    <col min="3" max="3" width="11.33203125" bestFit="1" customWidth="1"/>
    <col min="4" max="4" width="22.33203125" customWidth="1"/>
    <col min="6" max="6" width="4" customWidth="1"/>
    <col min="7" max="7" width="17.21875" bestFit="1" customWidth="1"/>
  </cols>
  <sheetData>
    <row r="2" spans="2:5" x14ac:dyDescent="0.3">
      <c r="B2" s="52" t="s">
        <v>33</v>
      </c>
      <c r="C2" s="52" t="s">
        <v>20</v>
      </c>
      <c r="D2" s="52" t="s">
        <v>21</v>
      </c>
      <c r="E2" s="52" t="s">
        <v>32</v>
      </c>
    </row>
    <row r="3" spans="2:5" x14ac:dyDescent="0.3">
      <c r="B3" s="53" t="s">
        <v>34</v>
      </c>
      <c r="C3" s="53" t="s">
        <v>31</v>
      </c>
      <c r="D3" s="54" t="s">
        <v>30</v>
      </c>
      <c r="E3" s="55">
        <v>0.3</v>
      </c>
    </row>
    <row r="4" spans="2:5" x14ac:dyDescent="0.3">
      <c r="B4" s="53" t="s">
        <v>35</v>
      </c>
      <c r="C4" s="53" t="s">
        <v>31</v>
      </c>
      <c r="D4" s="54" t="s">
        <v>25</v>
      </c>
      <c r="E4" s="55">
        <v>0.5</v>
      </c>
    </row>
    <row r="5" spans="2:5" x14ac:dyDescent="0.3">
      <c r="B5" s="53" t="s">
        <v>36</v>
      </c>
      <c r="C5" s="53" t="s">
        <v>31</v>
      </c>
      <c r="D5" s="54" t="s">
        <v>26</v>
      </c>
      <c r="E5" s="55">
        <v>0.1</v>
      </c>
    </row>
    <row r="6" spans="2:5" x14ac:dyDescent="0.3">
      <c r="B6" s="53" t="s">
        <v>37</v>
      </c>
      <c r="C6" s="53" t="s">
        <v>31</v>
      </c>
      <c r="D6" s="54" t="s">
        <v>27</v>
      </c>
      <c r="E6" s="55">
        <v>0.1</v>
      </c>
    </row>
    <row r="7" spans="2:5" x14ac:dyDescent="0.3">
      <c r="B7" s="53" t="s">
        <v>38</v>
      </c>
      <c r="C7" s="53" t="s">
        <v>31</v>
      </c>
      <c r="D7" s="54" t="s">
        <v>28</v>
      </c>
      <c r="E7" s="55">
        <v>0</v>
      </c>
    </row>
    <row r="8" spans="2:5" x14ac:dyDescent="0.3">
      <c r="B8" s="53" t="s">
        <v>39</v>
      </c>
      <c r="C8" s="53" t="s">
        <v>31</v>
      </c>
      <c r="D8" s="54" t="s">
        <v>29</v>
      </c>
      <c r="E8" s="55">
        <v>0</v>
      </c>
    </row>
    <row r="9" spans="2:5" x14ac:dyDescent="0.3">
      <c r="B9" s="53" t="s">
        <v>40</v>
      </c>
      <c r="C9" s="53" t="s">
        <v>19</v>
      </c>
      <c r="D9" s="54" t="s">
        <v>30</v>
      </c>
      <c r="E9" s="55">
        <v>0.32</v>
      </c>
    </row>
    <row r="10" spans="2:5" x14ac:dyDescent="0.3">
      <c r="B10" s="53" t="s">
        <v>41</v>
      </c>
      <c r="C10" s="53" t="s">
        <v>19</v>
      </c>
      <c r="D10" s="54" t="s">
        <v>25</v>
      </c>
      <c r="E10" s="55">
        <v>0.35</v>
      </c>
    </row>
    <row r="11" spans="2:5" x14ac:dyDescent="0.3">
      <c r="B11" s="53" t="s">
        <v>42</v>
      </c>
      <c r="C11" s="53" t="s">
        <v>19</v>
      </c>
      <c r="D11" s="54" t="s">
        <v>26</v>
      </c>
      <c r="E11" s="55">
        <v>0.1</v>
      </c>
    </row>
    <row r="12" spans="2:5" x14ac:dyDescent="0.3">
      <c r="B12" s="53" t="s">
        <v>43</v>
      </c>
      <c r="C12" s="53" t="s">
        <v>19</v>
      </c>
      <c r="D12" s="54" t="s">
        <v>27</v>
      </c>
      <c r="E12" s="55">
        <v>0.05</v>
      </c>
    </row>
    <row r="13" spans="2:5" x14ac:dyDescent="0.3">
      <c r="B13" s="53" t="s">
        <v>44</v>
      </c>
      <c r="C13" s="53" t="s">
        <v>19</v>
      </c>
      <c r="D13" s="54" t="s">
        <v>28</v>
      </c>
      <c r="E13" s="55">
        <v>0.08</v>
      </c>
    </row>
    <row r="14" spans="2:5" x14ac:dyDescent="0.3">
      <c r="B14" s="53" t="s">
        <v>45</v>
      </c>
      <c r="C14" s="53" t="s">
        <v>19</v>
      </c>
      <c r="D14" s="54" t="s">
        <v>29</v>
      </c>
      <c r="E14" s="55">
        <v>0.1</v>
      </c>
    </row>
    <row r="15" spans="2:5" x14ac:dyDescent="0.3">
      <c r="B15" s="53" t="s">
        <v>46</v>
      </c>
      <c r="C15" s="53" t="s">
        <v>18</v>
      </c>
      <c r="D15" s="54" t="s">
        <v>30</v>
      </c>
      <c r="E15" s="55">
        <v>0.45</v>
      </c>
    </row>
    <row r="16" spans="2:5" x14ac:dyDescent="0.3">
      <c r="B16" s="53" t="s">
        <v>47</v>
      </c>
      <c r="C16" s="53" t="s">
        <v>18</v>
      </c>
      <c r="D16" s="54" t="s">
        <v>25</v>
      </c>
      <c r="E16" s="55">
        <v>0.1</v>
      </c>
    </row>
    <row r="17" spans="2:5" x14ac:dyDescent="0.3">
      <c r="B17" s="53" t="s">
        <v>48</v>
      </c>
      <c r="C17" s="53" t="s">
        <v>18</v>
      </c>
      <c r="D17" s="54" t="s">
        <v>26</v>
      </c>
      <c r="E17" s="55">
        <v>0.05</v>
      </c>
    </row>
    <row r="18" spans="2:5" x14ac:dyDescent="0.3">
      <c r="B18" s="53" t="s">
        <v>49</v>
      </c>
      <c r="C18" s="53" t="s">
        <v>18</v>
      </c>
      <c r="D18" s="54" t="s">
        <v>27</v>
      </c>
      <c r="E18" s="55">
        <v>0.05</v>
      </c>
    </row>
    <row r="19" spans="2:5" x14ac:dyDescent="0.3">
      <c r="B19" s="53" t="s">
        <v>50</v>
      </c>
      <c r="C19" s="53" t="s">
        <v>18</v>
      </c>
      <c r="D19" s="54" t="s">
        <v>28</v>
      </c>
      <c r="E19" s="55">
        <v>0.2</v>
      </c>
    </row>
    <row r="20" spans="2:5" x14ac:dyDescent="0.3">
      <c r="B20" s="53" t="s">
        <v>51</v>
      </c>
      <c r="C20" s="53" t="s">
        <v>18</v>
      </c>
      <c r="D20" s="54" t="s">
        <v>29</v>
      </c>
      <c r="E20" s="55">
        <v>0.15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Investimentos</vt:lpstr>
      <vt:lpstr>Planilha_Apoio</vt:lpstr>
      <vt:lpstr>Aporte</vt:lpstr>
      <vt:lpstr>Patrimonio</vt:lpstr>
      <vt:lpstr>Perfil</vt:lpstr>
      <vt:lpstr>Qtd_Anos</vt:lpstr>
      <vt:lpstr>Rendimento_Carteira</vt:lpstr>
      <vt:lpstr>Salario</vt:lpstr>
      <vt:lpstr>Sugestao_Investimento</vt:lpstr>
      <vt:lpstr>Taxa_Mensal</vt:lpstr>
      <vt:lpstr>Taxa_Rendimento</vt:lpstr>
      <vt:lpstr>Valor_Investido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</dc:creator>
  <cp:lastModifiedBy>andri</cp:lastModifiedBy>
  <dcterms:created xsi:type="dcterms:W3CDTF">2026-02-14T19:16:54Z</dcterms:created>
  <dcterms:modified xsi:type="dcterms:W3CDTF">2026-02-15T05:23:41Z</dcterms:modified>
</cp:coreProperties>
</file>